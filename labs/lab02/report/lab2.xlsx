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нокт\Desktop\"/>
    </mc:Choice>
  </mc:AlternateContent>
  <xr:revisionPtr revIDLastSave="0" documentId="13_ncr:1_{677FD94F-C7D2-4A8C-9C70-ECB27EC3CEC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" i="1" l="1"/>
  <c r="I13" i="1" s="1"/>
  <c r="J13" i="1" s="1"/>
  <c r="H12" i="1"/>
  <c r="I12" i="1" s="1"/>
  <c r="J12" i="1" s="1"/>
  <c r="I11" i="1"/>
  <c r="I14" i="1"/>
  <c r="J14" i="1" s="1"/>
  <c r="I15" i="1"/>
  <c r="I10" i="1"/>
  <c r="H15" i="1"/>
  <c r="H14" i="1"/>
  <c r="H11" i="1"/>
  <c r="H10" i="1"/>
  <c r="G11" i="1"/>
  <c r="G12" i="1"/>
  <c r="G13" i="1"/>
  <c r="G14" i="1"/>
  <c r="G15" i="1"/>
  <c r="G10" i="1"/>
  <c r="F13" i="1"/>
  <c r="E15" i="1"/>
  <c r="E14" i="1"/>
  <c r="E11" i="1"/>
  <c r="E12" i="1"/>
  <c r="E10" i="1"/>
  <c r="C15" i="1"/>
  <c r="C14" i="1"/>
  <c r="C12" i="1"/>
  <c r="B11" i="1"/>
  <c r="B10" i="1"/>
  <c r="J15" i="1"/>
  <c r="J11" i="1"/>
  <c r="J10" i="1"/>
</calcChain>
</file>

<file path=xl/sharedStrings.xml><?xml version="1.0" encoding="utf-8"?>
<sst xmlns="http://schemas.openxmlformats.org/spreadsheetml/2006/main" count="20" uniqueCount="13">
  <si>
    <t>№</t>
  </si>
  <si>
    <t>Сегмент 1</t>
  </si>
  <si>
    <t>Сегмент 2</t>
  </si>
  <si>
    <t>Сегмент 3</t>
  </si>
  <si>
    <t>Сегмент 4</t>
  </si>
  <si>
    <t>Сегмент 5</t>
  </si>
  <si>
    <t>Сегмент 6</t>
  </si>
  <si>
    <t>Витая пара категории 5</t>
  </si>
  <si>
    <t>Повторитель класса 2</t>
  </si>
  <si>
    <t>Пара терминалос с интерфейсами tx</t>
  </si>
  <si>
    <t>С учётом непредвиденных задержек</t>
  </si>
  <si>
    <t>работоспособность</t>
  </si>
  <si>
    <t>Max время двойного оборота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</si>
</sst>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applyFill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abSelected="1" workbookViewId="0">
      <selection activeCell="H7" sqref="H7"/>
    </sheetView>
  </sheetViews>
  <sheetFormatPr defaultRowHeight="14.4" x14ac:dyDescent="0.3"/>
  <cols>
    <col min="2" max="7" width="9.44140625" bestFit="1" customWidth="1"/>
    <col min="8" max="8" width="27.77734375" bestFit="1" customWidth="1"/>
    <col min="9" max="9" width="32.44140625" bestFit="1" customWidth="1"/>
    <col min="10" max="10" width="41.8867187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1" x14ac:dyDescent="0.3">
      <c r="A2" s="1">
        <v>1</v>
      </c>
      <c r="B2" s="5">
        <v>96</v>
      </c>
      <c r="C2" s="4">
        <v>92</v>
      </c>
      <c r="D2" s="4">
        <v>80</v>
      </c>
      <c r="E2" s="4">
        <v>5</v>
      </c>
      <c r="F2" s="4">
        <v>97</v>
      </c>
      <c r="G2" s="6">
        <v>97</v>
      </c>
    </row>
    <row r="3" spans="1:11" x14ac:dyDescent="0.3">
      <c r="A3" s="1">
        <v>2</v>
      </c>
      <c r="B3" s="5">
        <v>95</v>
      </c>
      <c r="C3" s="4">
        <v>85</v>
      </c>
      <c r="D3" s="4">
        <v>85</v>
      </c>
      <c r="E3" s="4">
        <v>90</v>
      </c>
      <c r="F3" s="4">
        <v>90</v>
      </c>
      <c r="G3" s="6">
        <v>98</v>
      </c>
      <c r="J3" s="1" t="s">
        <v>7</v>
      </c>
      <c r="K3" s="4">
        <v>1.1120000000000001</v>
      </c>
    </row>
    <row r="4" spans="1:11" x14ac:dyDescent="0.3">
      <c r="A4" s="1">
        <v>3</v>
      </c>
      <c r="B4" s="3">
        <v>60</v>
      </c>
      <c r="C4" s="6">
        <v>95</v>
      </c>
      <c r="D4" s="4">
        <v>10</v>
      </c>
      <c r="E4" s="4">
        <v>5</v>
      </c>
      <c r="F4" s="4">
        <v>90</v>
      </c>
      <c r="G4" s="6">
        <v>100</v>
      </c>
      <c r="J4" s="1" t="s">
        <v>8</v>
      </c>
      <c r="K4" s="4">
        <v>92</v>
      </c>
    </row>
    <row r="5" spans="1:11" x14ac:dyDescent="0.3">
      <c r="A5" s="1">
        <v>4</v>
      </c>
      <c r="B5" s="3">
        <v>70</v>
      </c>
      <c r="C5" s="4">
        <v>65</v>
      </c>
      <c r="D5" s="4">
        <v>10</v>
      </c>
      <c r="E5" s="4">
        <v>4</v>
      </c>
      <c r="F5" s="6">
        <v>90</v>
      </c>
      <c r="G5" s="6">
        <v>80</v>
      </c>
      <c r="J5" s="1" t="s">
        <v>9</v>
      </c>
      <c r="K5" s="4">
        <v>100</v>
      </c>
    </row>
    <row r="6" spans="1:11" x14ac:dyDescent="0.3">
      <c r="A6" s="1">
        <v>5</v>
      </c>
      <c r="B6" s="3">
        <v>60</v>
      </c>
      <c r="C6" s="6">
        <v>95</v>
      </c>
      <c r="D6" s="4">
        <v>10</v>
      </c>
      <c r="E6" s="4">
        <v>15</v>
      </c>
      <c r="F6" s="4">
        <v>90</v>
      </c>
      <c r="G6" s="6">
        <v>100</v>
      </c>
    </row>
    <row r="7" spans="1:11" x14ac:dyDescent="0.3">
      <c r="A7" s="2">
        <v>6</v>
      </c>
      <c r="B7" s="3">
        <v>70</v>
      </c>
      <c r="C7" s="6">
        <v>98</v>
      </c>
      <c r="D7" s="4">
        <v>10</v>
      </c>
      <c r="E7" s="4">
        <v>9</v>
      </c>
      <c r="F7" s="4">
        <v>70</v>
      </c>
      <c r="G7" s="6">
        <v>100</v>
      </c>
    </row>
    <row r="9" spans="1:11" x14ac:dyDescent="0.3">
      <c r="A9" s="4" t="s">
        <v>0</v>
      </c>
      <c r="B9" s="4" t="s">
        <v>1</v>
      </c>
      <c r="C9" s="4" t="s">
        <v>2</v>
      </c>
      <c r="D9" s="4" t="s">
        <v>3</v>
      </c>
      <c r="E9" s="4" t="s">
        <v>4</v>
      </c>
      <c r="F9" s="4" t="s">
        <v>5</v>
      </c>
      <c r="G9" s="4" t="s">
        <v>6</v>
      </c>
      <c r="H9" s="4" t="s">
        <v>12</v>
      </c>
      <c r="I9" s="4" t="s">
        <v>10</v>
      </c>
      <c r="J9" s="4" t="s">
        <v>11</v>
      </c>
    </row>
    <row r="10" spans="1:11" x14ac:dyDescent="0.3">
      <c r="A10" s="4">
        <v>1</v>
      </c>
      <c r="B10" s="6">
        <f>B2*K3</f>
        <v>106.75200000000001</v>
      </c>
      <c r="C10" s="4"/>
      <c r="D10" s="4"/>
      <c r="E10" s="6">
        <f>E2*$K$3</f>
        <v>5.5600000000000005</v>
      </c>
      <c r="F10" s="4"/>
      <c r="G10" s="6">
        <f>G2*$K$3</f>
        <v>107.864</v>
      </c>
      <c r="H10" s="4">
        <f>SUM(B10,E10,G10,$K$5,$K$4,$K$4)</f>
        <v>504.17600000000004</v>
      </c>
      <c r="I10" s="4">
        <f>H10+4</f>
        <v>508.17600000000004</v>
      </c>
      <c r="J10" s="4" t="b">
        <f>IF(I10&lt;=512, TRUE)</f>
        <v>1</v>
      </c>
    </row>
    <row r="11" spans="1:11" x14ac:dyDescent="0.3">
      <c r="A11" s="4">
        <v>2</v>
      </c>
      <c r="B11" s="6">
        <f>B3*K3</f>
        <v>105.64000000000001</v>
      </c>
      <c r="C11" s="4"/>
      <c r="D11" s="4"/>
      <c r="E11" s="6">
        <f t="shared" ref="E11:E12" si="0">E3*$K$3</f>
        <v>100.08000000000001</v>
      </c>
      <c r="F11" s="4"/>
      <c r="G11" s="6">
        <f t="shared" ref="G11:G15" si="1">G3*$K$3</f>
        <v>108.97600000000001</v>
      </c>
      <c r="H11" s="4">
        <f>SUM(B11,E11,G11,$K$5,$K$4,$K$4)</f>
        <v>598.69600000000003</v>
      </c>
      <c r="I11" s="4">
        <f t="shared" ref="I11:I15" si="2">H11+4</f>
        <v>602.69600000000003</v>
      </c>
      <c r="J11" s="4" t="b">
        <f>IF(I11&lt;=512, TRUE)</f>
        <v>0</v>
      </c>
    </row>
    <row r="12" spans="1:11" x14ac:dyDescent="0.3">
      <c r="A12" s="4">
        <v>3</v>
      </c>
      <c r="B12" s="4"/>
      <c r="C12" s="6">
        <f>C4*K3</f>
        <v>105.64000000000001</v>
      </c>
      <c r="D12" s="4"/>
      <c r="E12" s="6">
        <f t="shared" si="0"/>
        <v>5.5600000000000005</v>
      </c>
      <c r="F12" s="4"/>
      <c r="G12" s="6">
        <f t="shared" si="1"/>
        <v>111.20000000000002</v>
      </c>
      <c r="H12" s="4">
        <f>SUM(C12,E12,G12,$K$5,$K$4,$K$4)</f>
        <v>506.40000000000003</v>
      </c>
      <c r="I12" s="4">
        <f t="shared" si="2"/>
        <v>510.40000000000003</v>
      </c>
      <c r="J12" s="4" t="b">
        <f>IF(I12&lt;=512, TRUE)</f>
        <v>1</v>
      </c>
    </row>
    <row r="13" spans="1:11" x14ac:dyDescent="0.3">
      <c r="A13" s="4">
        <v>4</v>
      </c>
      <c r="B13" s="4"/>
      <c r="C13" s="4"/>
      <c r="D13" s="4"/>
      <c r="E13" s="4"/>
      <c r="F13" s="6">
        <f>F5*K3</f>
        <v>100.08000000000001</v>
      </c>
      <c r="G13" s="6">
        <f t="shared" si="1"/>
        <v>88.960000000000008</v>
      </c>
      <c r="H13" s="4">
        <f>SUM(F13,G13,$K$5,$K$4)</f>
        <v>381.04</v>
      </c>
      <c r="I13" s="4">
        <f t="shared" si="2"/>
        <v>385.04</v>
      </c>
      <c r="J13" s="4" t="b">
        <f>IF(I13&lt;=512, TRUE)</f>
        <v>1</v>
      </c>
    </row>
    <row r="14" spans="1:11" x14ac:dyDescent="0.3">
      <c r="A14" s="4">
        <v>5</v>
      </c>
      <c r="B14" s="4"/>
      <c r="C14" s="6">
        <f>C6*K3</f>
        <v>105.64000000000001</v>
      </c>
      <c r="D14" s="4"/>
      <c r="E14" s="6">
        <f>E6*$K$3</f>
        <v>16.68</v>
      </c>
      <c r="F14" s="4"/>
      <c r="G14" s="6">
        <f t="shared" si="1"/>
        <v>111.20000000000002</v>
      </c>
      <c r="H14" s="4">
        <f>SUM(C14,E14,G14,$K$5,$K$4,$K$4)</f>
        <v>517.52</v>
      </c>
      <c r="I14" s="4">
        <f t="shared" si="2"/>
        <v>521.52</v>
      </c>
      <c r="J14" s="4" t="b">
        <f>IF(I14&lt;=512, TRUE)</f>
        <v>0</v>
      </c>
    </row>
    <row r="15" spans="1:11" x14ac:dyDescent="0.3">
      <c r="A15" s="4">
        <v>6</v>
      </c>
      <c r="B15" s="4"/>
      <c r="C15" s="6">
        <f>C7*K3</f>
        <v>108.97600000000001</v>
      </c>
      <c r="D15" s="4"/>
      <c r="E15" s="6">
        <f>E7*$K$3</f>
        <v>10.008000000000001</v>
      </c>
      <c r="F15" s="4"/>
      <c r="G15" s="6">
        <f t="shared" si="1"/>
        <v>111.20000000000002</v>
      </c>
      <c r="H15" s="4">
        <f>SUM(C15,E15,G15,$K$5,$K$4,$K$4)</f>
        <v>514.18399999999997</v>
      </c>
      <c r="I15" s="4">
        <f t="shared" si="2"/>
        <v>518.18399999999997</v>
      </c>
      <c r="J15" s="4" t="b">
        <f>IF(I15&lt;=512, TRUE)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нокт</dc:creator>
  <cp:lastModifiedBy>Машков Илья Евгеньевич</cp:lastModifiedBy>
  <dcterms:created xsi:type="dcterms:W3CDTF">2015-06-05T18:19:34Z</dcterms:created>
  <dcterms:modified xsi:type="dcterms:W3CDTF">2026-02-13T13:28:24Z</dcterms:modified>
</cp:coreProperties>
</file>